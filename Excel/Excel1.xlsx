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10" windowHeight="6750" firstSheet="2" activeTab="3"/>
  </bookViews>
  <sheets>
    <sheet name="Payroll" sheetId="1" r:id="rId1"/>
    <sheet name="Gradebook" sheetId="2" r:id="rId2"/>
    <sheet name="Decisionn Chart" sheetId="3" r:id="rId3"/>
    <sheet name="Sales Repo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<sst xmlns="http://schemas.openxmlformats.org/spreadsheetml/2006/main" count="62" uniqueCount="43">
  <si>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Ename</t>
  </si>
  <si>
    <t>Hourly wage</t>
  </si>
  <si>
    <t>Hours worked</t>
  </si>
  <si>
    <t>Overtime hours</t>
  </si>
  <si>
    <t>Pay</t>
  </si>
  <si>
    <t>Bonus</t>
  </si>
  <si>
    <t>Total pay</t>
  </si>
  <si>
    <t>Jan Pay</t>
  </si>
  <si>
    <t>Amal</t>
  </si>
  <si>
    <t>Amy</t>
  </si>
  <si>
    <t>Nisha</t>
  </si>
  <si>
    <t>jijo</t>
  </si>
  <si>
    <t>Atul</t>
  </si>
  <si>
    <t>Edwin</t>
  </si>
  <si>
    <t>Rino</t>
  </si>
  <si>
    <t>Tom</t>
  </si>
  <si>
    <t>Sam</t>
  </si>
  <si>
    <t xml:space="preserve">Novin </t>
  </si>
  <si>
    <t>Kevin</t>
  </si>
  <si>
    <t>Suni</t>
  </si>
  <si>
    <t>Max</t>
  </si>
  <si>
    <t>Min</t>
  </si>
  <si>
    <t>Average</t>
  </si>
  <si>
    <t>Total</t>
  </si>
  <si>
    <t>Gradebook</t>
  </si>
  <si>
    <t>Safety test</t>
  </si>
  <si>
    <t>Company Philosopy test</t>
  </si>
  <si>
    <t>Financial Skill test</t>
  </si>
  <si>
    <t>Drug test</t>
  </si>
  <si>
    <t>Fire employee</t>
  </si>
  <si>
    <t>Name</t>
  </si>
  <si>
    <t>Avg</t>
  </si>
  <si>
    <t>Career Decisions</t>
  </si>
  <si>
    <t>Job</t>
  </si>
  <si>
    <t>Job Market</t>
  </si>
  <si>
    <t>Enjoyment</t>
  </si>
  <si>
    <t>My talent</t>
  </si>
  <si>
    <t>Schooling</t>
  </si>
  <si>
    <t>Project Manager</t>
  </si>
  <si>
    <t>Developer</t>
  </si>
  <si>
    <t>Data Analyst</t>
  </si>
  <si>
    <t>Doctor</t>
  </si>
  <si>
    <t>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</si>
</sst>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&quot;₹&quot;#,##0.00_);[Red]\(&quot;₹&quot;#,##0.00\)"/>
    <numFmt numFmtId="182" formatCode="0.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NumberFormat="1">
      <alignment vertical="center"/>
    </xf>
    <xf numFmtId="0" fontId="0" fillId="7" borderId="0" xfId="0" applyNumberFormat="1" applyFill="1">
      <alignment vertical="center"/>
    </xf>
    <xf numFmtId="0" fontId="0" fillId="0" borderId="0" xfId="0" applyAlignment="1">
      <alignment vertical="center" textRotation="90"/>
    </xf>
    <xf numFmtId="9" fontId="0" fillId="0" borderId="0" xfId="3">
      <alignment vertical="center"/>
    </xf>
    <xf numFmtId="180" fontId="0" fillId="8" borderId="0" xfId="0" applyNumberFormat="1" applyFill="1">
      <alignment vertical="center"/>
    </xf>
    <xf numFmtId="180" fontId="0" fillId="6" borderId="0" xfId="0" applyNumberFormat="1" applyFill="1">
      <alignment vertical="center"/>
    </xf>
    <xf numFmtId="177" fontId="0" fillId="0" borderId="0" xfId="0" applyNumberFormat="1">
      <alignment vertical="center"/>
    </xf>
    <xf numFmtId="0" fontId="0" fillId="8" borderId="0" xfId="0" applyNumberFormat="1" applyFill="1">
      <alignment vertical="center"/>
    </xf>
    <xf numFmtId="0" fontId="0" fillId="6" borderId="0" xfId="0" applyNumberFormat="1" applyFill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180" fontId="0" fillId="9" borderId="0" xfId="0" applyNumberFormat="1" applyFill="1">
      <alignment vertical="center"/>
    </xf>
    <xf numFmtId="177" fontId="0" fillId="9" borderId="0" xfId="0" applyNumberFormat="1" applyFill="1">
      <alignment vertical="center"/>
    </xf>
    <xf numFmtId="180" fontId="0" fillId="10" borderId="0" xfId="0" applyNumberFormat="1" applyFill="1">
      <alignment vertical="center"/>
    </xf>
    <xf numFmtId="180" fontId="0" fillId="0" borderId="0" xfId="0" applyNumberFormat="1">
      <alignment vertical="center"/>
    </xf>
    <xf numFmtId="177" fontId="0" fillId="10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Safety Test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3877656638371"/>
          <c:y val="0.127428307123034"/>
          <c:w val="0.91219255557017"/>
          <c:h val="0.6060129509713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Gradebook!$A$4:$A$15</c:f>
              <c:strCache>
                <c:ptCount val="12"/>
                <c:pt idx="0">
                  <c:v>Amal</c:v>
                </c:pt>
                <c:pt idx="1">
                  <c:v>Amy</c:v>
                </c:pt>
                <c:pt idx="2">
                  <c:v>Nisha</c:v>
                </c:pt>
                <c:pt idx="3">
                  <c:v>jijo</c:v>
                </c:pt>
                <c:pt idx="4">
                  <c:v>Atul</c:v>
                </c:pt>
                <c:pt idx="5">
                  <c:v>Edwin</c:v>
                </c:pt>
                <c:pt idx="6">
                  <c:v>Rino</c:v>
                </c:pt>
                <c:pt idx="7">
                  <c:v>Tom</c:v>
                </c:pt>
                <c:pt idx="8">
                  <c:v>Sam</c:v>
                </c:pt>
                <c:pt idx="9">
                  <c:v>Novin </c:v>
                </c:pt>
                <c:pt idx="10">
                  <c:v>Kevin</c:v>
                </c:pt>
                <c:pt idx="11">
                  <c:v>Suni</c:v>
                </c:pt>
              </c:strCache>
            </c:strRef>
          </c:cat>
          <c:val>
            <c:numRef>
              <c:f>Gradebook!$B$4:$B$15</c:f>
              <c:numCache>
                <c:formatCode>General</c:formatCode>
                <c:ptCount val="12"/>
                <c:pt idx="0">
                  <c:v>10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1458160"/>
        <c:axId val="22089780"/>
      </c:barChart>
      <c:catAx>
        <c:axId val="6145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089780"/>
        <c:crosses val="autoZero"/>
        <c:auto val="1"/>
        <c:lblAlgn val="ctr"/>
        <c:lblOffset val="100"/>
        <c:noMultiLvlLbl val="0"/>
      </c:catAx>
      <c:valAx>
        <c:axId val="220897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5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Company Philosophy Test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9211860240947"/>
          <c:y val="0.142208864866439"/>
          <c:w val="0.91219255557017"/>
          <c:h val="0.60601295097132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Gradebook!$A$4:$A$15</c:f>
              <c:strCache>
                <c:ptCount val="12"/>
                <c:pt idx="0">
                  <c:v>Amal</c:v>
                </c:pt>
                <c:pt idx="1">
                  <c:v>Amy</c:v>
                </c:pt>
                <c:pt idx="2">
                  <c:v>Nisha</c:v>
                </c:pt>
                <c:pt idx="3">
                  <c:v>jijo</c:v>
                </c:pt>
                <c:pt idx="4">
                  <c:v>Atul</c:v>
                </c:pt>
                <c:pt idx="5">
                  <c:v>Edwin</c:v>
                </c:pt>
                <c:pt idx="6">
                  <c:v>Rino</c:v>
                </c:pt>
                <c:pt idx="7">
                  <c:v>Tom</c:v>
                </c:pt>
                <c:pt idx="8">
                  <c:v>Sam</c:v>
                </c:pt>
                <c:pt idx="9">
                  <c:v>Novin </c:v>
                </c:pt>
                <c:pt idx="10">
                  <c:v>Kevin</c:v>
                </c:pt>
                <c:pt idx="11">
                  <c:v>Suni</c:v>
                </c:pt>
              </c:strCache>
            </c:strRef>
          </c:cat>
          <c:val>
            <c:numRef>
              <c:f>Gradebook!$C$4:$C$15</c:f>
              <c:numCache>
                <c:formatCode>General</c:formatCode>
                <c:ptCount val="12"/>
                <c:pt idx="0">
                  <c:v>15</c:v>
                </c:pt>
                <c:pt idx="1">
                  <c:v>17</c:v>
                </c:pt>
                <c:pt idx="2">
                  <c:v>18</c:v>
                </c:pt>
                <c:pt idx="3">
                  <c:v>20</c:v>
                </c:pt>
                <c:pt idx="4">
                  <c:v>12</c:v>
                </c:pt>
                <c:pt idx="5">
                  <c:v>15</c:v>
                </c:pt>
                <c:pt idx="6">
                  <c:v>12</c:v>
                </c:pt>
                <c:pt idx="7">
                  <c:v>7</c:v>
                </c:pt>
                <c:pt idx="8">
                  <c:v>12</c:v>
                </c:pt>
                <c:pt idx="9">
                  <c:v>19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3762599"/>
        <c:axId val="463000323"/>
      </c:barChart>
      <c:catAx>
        <c:axId val="223762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000323"/>
        <c:crosses val="autoZero"/>
        <c:auto val="1"/>
        <c:lblAlgn val="ctr"/>
        <c:lblOffset val="100"/>
        <c:noMultiLvlLbl val="0"/>
      </c:catAx>
      <c:valAx>
        <c:axId val="4630003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3762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Financial skill Test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Gradebook!$A$4:$A$15</c:f>
              <c:strCache>
                <c:ptCount val="12"/>
                <c:pt idx="0">
                  <c:v>Amal</c:v>
                </c:pt>
                <c:pt idx="1">
                  <c:v>Amy</c:v>
                </c:pt>
                <c:pt idx="2">
                  <c:v>Nisha</c:v>
                </c:pt>
                <c:pt idx="3">
                  <c:v>jijo</c:v>
                </c:pt>
                <c:pt idx="4">
                  <c:v>Atul</c:v>
                </c:pt>
                <c:pt idx="5">
                  <c:v>Edwin</c:v>
                </c:pt>
                <c:pt idx="6">
                  <c:v>Rino</c:v>
                </c:pt>
                <c:pt idx="7">
                  <c:v>Tom</c:v>
                </c:pt>
                <c:pt idx="8">
                  <c:v>Sam</c:v>
                </c:pt>
                <c:pt idx="9">
                  <c:v>Novin </c:v>
                </c:pt>
                <c:pt idx="10">
                  <c:v>Kevin</c:v>
                </c:pt>
                <c:pt idx="11">
                  <c:v>Suni</c:v>
                </c:pt>
              </c:strCache>
            </c:strRef>
          </c:cat>
          <c:val>
            <c:numRef>
              <c:f>Gradebook!$D$4:$D$15</c:f>
              <c:numCache>
                <c:formatCode>General</c:formatCode>
                <c:ptCount val="12"/>
                <c:pt idx="0">
                  <c:v>80</c:v>
                </c:pt>
                <c:pt idx="1">
                  <c:v>70</c:v>
                </c:pt>
                <c:pt idx="2">
                  <c:v>50</c:v>
                </c:pt>
                <c:pt idx="3">
                  <c:v>60</c:v>
                </c:pt>
                <c:pt idx="4">
                  <c:v>80</c:v>
                </c:pt>
                <c:pt idx="5">
                  <c:v>75</c:v>
                </c:pt>
                <c:pt idx="6">
                  <c:v>100</c:v>
                </c:pt>
                <c:pt idx="7">
                  <c:v>50</c:v>
                </c:pt>
                <c:pt idx="8">
                  <c:v>70</c:v>
                </c:pt>
                <c:pt idx="9">
                  <c:v>80</c:v>
                </c:pt>
                <c:pt idx="10">
                  <c:v>70</c:v>
                </c:pt>
                <c:pt idx="11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02877468"/>
        <c:axId val="502406913"/>
      </c:barChart>
      <c:catAx>
        <c:axId val="1028774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2406913"/>
        <c:crosses val="autoZero"/>
        <c:auto val="1"/>
        <c:lblAlgn val="ctr"/>
        <c:lblOffset val="100"/>
        <c:noMultiLvlLbl val="0"/>
      </c:catAx>
      <c:valAx>
        <c:axId val="5024069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8774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9525</xdr:colOff>
      <xdr:row>0</xdr:row>
      <xdr:rowOff>699135</xdr:rowOff>
    </xdr:from>
    <xdr:to>
      <xdr:col>20</xdr:col>
      <xdr:colOff>568325</xdr:colOff>
      <xdr:row>11</xdr:row>
      <xdr:rowOff>70485</xdr:rowOff>
    </xdr:to>
    <xdr:graphicFrame>
      <xdr:nvGraphicFramePr>
        <xdr:cNvPr id="4" name="Chart 3"/>
        <xdr:cNvGraphicFramePr/>
      </xdr:nvGraphicFramePr>
      <xdr:xfrm>
        <a:off x="9753600" y="699135"/>
        <a:ext cx="482600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159385</xdr:colOff>
      <xdr:row>12</xdr:row>
      <xdr:rowOff>113665</xdr:rowOff>
    </xdr:from>
    <xdr:to>
      <xdr:col>21</xdr:col>
      <xdr:colOff>108585</xdr:colOff>
      <xdr:row>27</xdr:row>
      <xdr:rowOff>0</xdr:rowOff>
    </xdr:to>
    <xdr:graphicFrame>
      <xdr:nvGraphicFramePr>
        <xdr:cNvPr id="5" name="Chart 4"/>
        <xdr:cNvGraphicFramePr/>
      </xdr:nvGraphicFramePr>
      <xdr:xfrm>
        <a:off x="9903460" y="3676650"/>
        <a:ext cx="482600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159385</xdr:colOff>
      <xdr:row>28</xdr:row>
      <xdr:rowOff>73025</xdr:rowOff>
    </xdr:from>
    <xdr:to>
      <xdr:col>21</xdr:col>
      <xdr:colOff>108585</xdr:colOff>
      <xdr:row>42</xdr:row>
      <xdr:rowOff>149860</xdr:rowOff>
    </xdr:to>
    <xdr:graphicFrame>
      <xdr:nvGraphicFramePr>
        <xdr:cNvPr id="6" name="Chart 5"/>
        <xdr:cNvGraphicFramePr/>
      </xdr:nvGraphicFramePr>
      <xdr:xfrm>
        <a:off x="9903460" y="6684010"/>
        <a:ext cx="4826000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9"/>
  <sheetViews>
    <sheetView zoomScale="80" zoomScaleNormal="80" workbookViewId="0">
      <selection activeCell="A3" sqref="A3:A14"/>
    </sheetView>
  </sheetViews>
  <sheetFormatPr defaultColWidth="9.14285714285714" defaultRowHeight="15"/>
  <cols>
    <col min="1" max="1" width="10.4285714285714" customWidth="1"/>
    <col min="2" max="2" width="21.1428571428571" customWidth="1"/>
    <col min="3" max="12" width="19.7142857142857" customWidth="1"/>
    <col min="13" max="13" width="15.8571428571429" customWidth="1"/>
    <col min="14" max="14" width="13.7142857142857"/>
    <col min="15" max="15" width="11.8571428571429"/>
    <col min="16" max="17" width="13.7142857142857"/>
    <col min="18" max="22" width="11.8571428571429"/>
    <col min="23" max="23" width="17.2857142857143" customWidth="1"/>
    <col min="24" max="24" width="13.7142857142857"/>
    <col min="25" max="25" width="19.6380952380952" customWidth="1"/>
    <col min="26" max="26" width="15.5333333333333" customWidth="1"/>
    <col min="27" max="27" width="12.3142857142857" customWidth="1"/>
    <col min="28" max="28" width="24.2857142857143" customWidth="1"/>
  </cols>
  <sheetData>
    <row r="1" spans="1:28">
      <c r="A1" t="s">
        <v>0</v>
      </c>
      <c r="B1" t="s">
        <v>1</v>
      </c>
      <c r="C1" t="s">
        <v>2</v>
      </c>
      <c r="H1" t="s">
        <v>3</v>
      </c>
      <c r="M1" t="s">
        <v>4</v>
      </c>
      <c r="R1" t="s">
        <v>5</v>
      </c>
      <c r="W1" t="s">
        <v>6</v>
      </c>
      <c r="AB1" t="s">
        <v>7</v>
      </c>
    </row>
    <row r="2" spans="3:27">
      <c r="C2" s="10">
        <v>45658</v>
      </c>
      <c r="D2" s="10">
        <v>45665</v>
      </c>
      <c r="E2" s="10">
        <v>45673</v>
      </c>
      <c r="F2" s="10">
        <v>45679</v>
      </c>
      <c r="G2" s="10">
        <v>45686</v>
      </c>
      <c r="H2" s="11">
        <v>45658</v>
      </c>
      <c r="I2" s="11">
        <f>H2+7</f>
        <v>45665</v>
      </c>
      <c r="J2" s="11">
        <f>I2+7</f>
        <v>45672</v>
      </c>
      <c r="K2" s="11">
        <f>J2+7</f>
        <v>45679</v>
      </c>
      <c r="L2" s="11">
        <f>K2+7</f>
        <v>45686</v>
      </c>
      <c r="M2" s="17">
        <v>45658</v>
      </c>
      <c r="N2" s="17">
        <v>45665</v>
      </c>
      <c r="O2" s="17">
        <v>45672</v>
      </c>
      <c r="P2" s="17">
        <v>45679</v>
      </c>
      <c r="Q2" s="17">
        <v>45686</v>
      </c>
      <c r="R2" s="19">
        <v>45658</v>
      </c>
      <c r="S2" s="19">
        <v>45665</v>
      </c>
      <c r="T2" s="19">
        <v>45672</v>
      </c>
      <c r="U2" s="19">
        <v>45679</v>
      </c>
      <c r="V2" s="19">
        <v>45686</v>
      </c>
      <c r="W2" s="20">
        <v>45658</v>
      </c>
      <c r="X2" s="20">
        <v>45665</v>
      </c>
      <c r="Y2" s="20">
        <v>45672</v>
      </c>
      <c r="Z2" s="20">
        <v>45679</v>
      </c>
      <c r="AA2" s="20">
        <v>45686</v>
      </c>
    </row>
    <row r="3" spans="1:28">
      <c r="A3" t="s">
        <v>8</v>
      </c>
      <c r="B3" s="12">
        <v>200</v>
      </c>
      <c r="C3" s="13">
        <v>34</v>
      </c>
      <c r="D3" s="13">
        <v>12</v>
      </c>
      <c r="E3" s="13">
        <v>45</v>
      </c>
      <c r="F3" s="13">
        <v>12</v>
      </c>
      <c r="G3" s="13">
        <v>34</v>
      </c>
      <c r="H3" s="14">
        <f>IF(C3&gt;20,C3-20,0)</f>
        <v>14</v>
      </c>
      <c r="I3" s="14">
        <f t="shared" ref="I3:I14" si="0">IF(D3&gt;20,D3-20,0)</f>
        <v>0</v>
      </c>
      <c r="J3" s="14">
        <f t="shared" ref="J3:J14" si="1">IF(E3&gt;20,E3-20,0)</f>
        <v>25</v>
      </c>
      <c r="K3" s="14">
        <f t="shared" ref="K3:K14" si="2">IF(F3&gt;20,F3-20,0)</f>
        <v>0</v>
      </c>
      <c r="L3" s="14">
        <f t="shared" ref="L3:L14" si="3">IF(G3&gt;20,G3-20,0)</f>
        <v>14</v>
      </c>
      <c r="M3" s="18">
        <f>$B3*C3</f>
        <v>6800</v>
      </c>
      <c r="N3" s="18">
        <f t="shared" ref="N3:N14" si="4">$B3*D3</f>
        <v>2400</v>
      </c>
      <c r="O3" s="18">
        <f t="shared" ref="O3:O14" si="5">$B3*E3</f>
        <v>9000</v>
      </c>
      <c r="P3" s="18">
        <f t="shared" ref="P3:P14" si="6">$B3*F3</f>
        <v>2400</v>
      </c>
      <c r="Q3" s="18">
        <f t="shared" ref="Q3:Q14" si="7">$B3*G3</f>
        <v>6800</v>
      </c>
      <c r="R3" s="21">
        <f>0.5*$B3*H3</f>
        <v>1400</v>
      </c>
      <c r="S3" s="21">
        <f t="shared" ref="S3:S14" si="8">0.5*$B3*I3</f>
        <v>0</v>
      </c>
      <c r="T3" s="21">
        <f t="shared" ref="T3:T14" si="9">0.5*$B3*J3</f>
        <v>2500</v>
      </c>
      <c r="U3" s="21">
        <f t="shared" ref="U3:U14" si="10">0.5*$B3*K3</f>
        <v>0</v>
      </c>
      <c r="V3" s="21">
        <f t="shared" ref="V3:V14" si="11">0.5*$B3*L3</f>
        <v>1400</v>
      </c>
      <c r="W3" s="12">
        <f t="shared" ref="W3:AA3" si="12">M3+R3</f>
        <v>8200</v>
      </c>
      <c r="X3" s="12">
        <f t="shared" si="12"/>
        <v>2400</v>
      </c>
      <c r="Y3" s="12">
        <f t="shared" si="12"/>
        <v>11500</v>
      </c>
      <c r="Z3" s="12">
        <f t="shared" si="12"/>
        <v>2400</v>
      </c>
      <c r="AA3" s="12">
        <f t="shared" si="12"/>
        <v>8200</v>
      </c>
      <c r="AB3" s="12">
        <f>SUM(W3:AA3)</f>
        <v>32700</v>
      </c>
    </row>
    <row r="4" spans="1:28">
      <c r="A4" t="s">
        <v>9</v>
      </c>
      <c r="B4" s="12">
        <v>340</v>
      </c>
      <c r="C4" s="13">
        <v>35</v>
      </c>
      <c r="D4" s="13">
        <v>15</v>
      </c>
      <c r="E4" s="13">
        <v>25</v>
      </c>
      <c r="F4" s="13">
        <v>15</v>
      </c>
      <c r="G4" s="13">
        <v>35</v>
      </c>
      <c r="H4" s="14">
        <f t="shared" ref="H4:H14" si="13">IF(C4&gt;20,C4-20,0)</f>
        <v>15</v>
      </c>
      <c r="I4" s="14">
        <f t="shared" si="0"/>
        <v>0</v>
      </c>
      <c r="J4" s="14">
        <f t="shared" si="1"/>
        <v>5</v>
      </c>
      <c r="K4" s="14">
        <f t="shared" si="2"/>
        <v>0</v>
      </c>
      <c r="L4" s="14">
        <f t="shared" si="3"/>
        <v>15</v>
      </c>
      <c r="M4" s="18">
        <f t="shared" ref="M4:M14" si="14">$B4*C4</f>
        <v>11900</v>
      </c>
      <c r="N4" s="18">
        <f t="shared" si="4"/>
        <v>5100</v>
      </c>
      <c r="O4" s="18">
        <f t="shared" si="5"/>
        <v>8500</v>
      </c>
      <c r="P4" s="18">
        <f t="shared" si="6"/>
        <v>5100</v>
      </c>
      <c r="Q4" s="18">
        <f t="shared" si="7"/>
        <v>11900</v>
      </c>
      <c r="R4" s="21">
        <f t="shared" ref="R4:R14" si="15">0.5*$B4*H4</f>
        <v>2550</v>
      </c>
      <c r="S4" s="21">
        <f t="shared" si="8"/>
        <v>0</v>
      </c>
      <c r="T4" s="21">
        <f t="shared" si="9"/>
        <v>850</v>
      </c>
      <c r="U4" s="21">
        <f t="shared" si="10"/>
        <v>0</v>
      </c>
      <c r="V4" s="21">
        <f t="shared" si="11"/>
        <v>2550</v>
      </c>
      <c r="W4" s="12">
        <f t="shared" ref="W4:W14" si="16">M4+R4</f>
        <v>14450</v>
      </c>
      <c r="X4" s="12">
        <f t="shared" ref="X4:X14" si="17">N4+S4</f>
        <v>5100</v>
      </c>
      <c r="Y4" s="12">
        <f t="shared" ref="Y4:Y14" si="18">O4+T4</f>
        <v>9350</v>
      </c>
      <c r="Z4" s="12">
        <f t="shared" ref="Z4:Z14" si="19">P4+U4</f>
        <v>5100</v>
      </c>
      <c r="AA4" s="12">
        <f t="shared" ref="AA4:AA14" si="20">Q4+V4</f>
        <v>14450</v>
      </c>
      <c r="AB4" s="12">
        <f t="shared" ref="AB4:AB14" si="21">SUM(W4:AA4)</f>
        <v>48450</v>
      </c>
    </row>
    <row r="5" spans="1:28">
      <c r="A5" t="s">
        <v>10</v>
      </c>
      <c r="B5" s="12">
        <v>300</v>
      </c>
      <c r="C5" s="13">
        <v>23</v>
      </c>
      <c r="D5" s="13">
        <v>14</v>
      </c>
      <c r="E5" s="13">
        <v>23</v>
      </c>
      <c r="F5" s="13">
        <v>14</v>
      </c>
      <c r="G5" s="13">
        <v>23</v>
      </c>
      <c r="H5" s="14">
        <f t="shared" si="13"/>
        <v>3</v>
      </c>
      <c r="I5" s="14">
        <f t="shared" si="0"/>
        <v>0</v>
      </c>
      <c r="J5" s="14">
        <f t="shared" si="1"/>
        <v>3</v>
      </c>
      <c r="K5" s="14">
        <f t="shared" si="2"/>
        <v>0</v>
      </c>
      <c r="L5" s="14">
        <f t="shared" si="3"/>
        <v>3</v>
      </c>
      <c r="M5" s="18">
        <f t="shared" si="14"/>
        <v>6900</v>
      </c>
      <c r="N5" s="18">
        <f t="shared" si="4"/>
        <v>4200</v>
      </c>
      <c r="O5" s="18">
        <f t="shared" si="5"/>
        <v>6900</v>
      </c>
      <c r="P5" s="18">
        <f t="shared" si="6"/>
        <v>4200</v>
      </c>
      <c r="Q5" s="18">
        <f t="shared" si="7"/>
        <v>6900</v>
      </c>
      <c r="R5" s="21">
        <f t="shared" si="15"/>
        <v>450</v>
      </c>
      <c r="S5" s="21">
        <f t="shared" si="8"/>
        <v>0</v>
      </c>
      <c r="T5" s="21">
        <f t="shared" si="9"/>
        <v>450</v>
      </c>
      <c r="U5" s="21">
        <f t="shared" si="10"/>
        <v>0</v>
      </c>
      <c r="V5" s="21">
        <f t="shared" si="11"/>
        <v>450</v>
      </c>
      <c r="W5" s="12">
        <f t="shared" si="16"/>
        <v>7350</v>
      </c>
      <c r="X5" s="12">
        <f t="shared" si="17"/>
        <v>4200</v>
      </c>
      <c r="Y5" s="12">
        <f t="shared" si="18"/>
        <v>7350</v>
      </c>
      <c r="Z5" s="12">
        <f t="shared" si="19"/>
        <v>4200</v>
      </c>
      <c r="AA5" s="12">
        <f t="shared" si="20"/>
        <v>7350</v>
      </c>
      <c r="AB5" s="12">
        <f t="shared" si="21"/>
        <v>30450</v>
      </c>
    </row>
    <row r="6" spans="1:28">
      <c r="A6" t="s">
        <v>11</v>
      </c>
      <c r="B6" s="12">
        <v>500</v>
      </c>
      <c r="C6" s="13">
        <v>22</v>
      </c>
      <c r="D6" s="13">
        <v>52</v>
      </c>
      <c r="E6" s="13">
        <v>12</v>
      </c>
      <c r="F6" s="13">
        <v>52</v>
      </c>
      <c r="G6" s="13">
        <v>22</v>
      </c>
      <c r="H6" s="14">
        <f t="shared" si="13"/>
        <v>2</v>
      </c>
      <c r="I6" s="14">
        <f t="shared" si="0"/>
        <v>32</v>
      </c>
      <c r="J6" s="14">
        <f t="shared" si="1"/>
        <v>0</v>
      </c>
      <c r="K6" s="14">
        <f t="shared" si="2"/>
        <v>32</v>
      </c>
      <c r="L6" s="14">
        <f t="shared" si="3"/>
        <v>2</v>
      </c>
      <c r="M6" s="18">
        <f t="shared" si="14"/>
        <v>11000</v>
      </c>
      <c r="N6" s="18">
        <f t="shared" si="4"/>
        <v>26000</v>
      </c>
      <c r="O6" s="18">
        <f t="shared" si="5"/>
        <v>6000</v>
      </c>
      <c r="P6" s="18">
        <f t="shared" si="6"/>
        <v>26000</v>
      </c>
      <c r="Q6" s="18">
        <f t="shared" si="7"/>
        <v>11000</v>
      </c>
      <c r="R6" s="21">
        <f t="shared" si="15"/>
        <v>500</v>
      </c>
      <c r="S6" s="21">
        <f t="shared" si="8"/>
        <v>8000</v>
      </c>
      <c r="T6" s="21">
        <f t="shared" si="9"/>
        <v>0</v>
      </c>
      <c r="U6" s="21">
        <f t="shared" si="10"/>
        <v>8000</v>
      </c>
      <c r="V6" s="21">
        <f t="shared" si="11"/>
        <v>500</v>
      </c>
      <c r="W6" s="12">
        <f t="shared" si="16"/>
        <v>11500</v>
      </c>
      <c r="X6" s="12">
        <f t="shared" si="17"/>
        <v>34000</v>
      </c>
      <c r="Y6" s="12">
        <f t="shared" si="18"/>
        <v>6000</v>
      </c>
      <c r="Z6" s="12">
        <f t="shared" si="19"/>
        <v>34000</v>
      </c>
      <c r="AA6" s="12">
        <f t="shared" si="20"/>
        <v>11500</v>
      </c>
      <c r="AB6" s="12">
        <f t="shared" si="21"/>
        <v>97000</v>
      </c>
    </row>
    <row r="7" spans="1:28">
      <c r="A7" t="s">
        <v>12</v>
      </c>
      <c r="B7" s="12">
        <v>350</v>
      </c>
      <c r="C7" s="13">
        <v>56</v>
      </c>
      <c r="D7" s="13">
        <v>45</v>
      </c>
      <c r="E7" s="13">
        <v>34</v>
      </c>
      <c r="F7" s="13">
        <v>45</v>
      </c>
      <c r="G7" s="13">
        <v>56</v>
      </c>
      <c r="H7" s="14">
        <f t="shared" si="13"/>
        <v>36</v>
      </c>
      <c r="I7" s="14">
        <f t="shared" si="0"/>
        <v>25</v>
      </c>
      <c r="J7" s="14">
        <f t="shared" si="1"/>
        <v>14</v>
      </c>
      <c r="K7" s="14">
        <f t="shared" si="2"/>
        <v>25</v>
      </c>
      <c r="L7" s="14">
        <f t="shared" si="3"/>
        <v>36</v>
      </c>
      <c r="M7" s="18">
        <f t="shared" si="14"/>
        <v>19600</v>
      </c>
      <c r="N7" s="18">
        <f t="shared" si="4"/>
        <v>15750</v>
      </c>
      <c r="O7" s="18">
        <f t="shared" si="5"/>
        <v>11900</v>
      </c>
      <c r="P7" s="18">
        <f t="shared" si="6"/>
        <v>15750</v>
      </c>
      <c r="Q7" s="18">
        <f t="shared" si="7"/>
        <v>19600</v>
      </c>
      <c r="R7" s="21">
        <f t="shared" si="15"/>
        <v>6300</v>
      </c>
      <c r="S7" s="21">
        <f t="shared" si="8"/>
        <v>4375</v>
      </c>
      <c r="T7" s="21">
        <f t="shared" si="9"/>
        <v>2450</v>
      </c>
      <c r="U7" s="21">
        <f t="shared" si="10"/>
        <v>4375</v>
      </c>
      <c r="V7" s="21">
        <f t="shared" si="11"/>
        <v>6300</v>
      </c>
      <c r="W7" s="12">
        <f t="shared" si="16"/>
        <v>25900</v>
      </c>
      <c r="X7" s="12">
        <f t="shared" si="17"/>
        <v>20125</v>
      </c>
      <c r="Y7" s="12">
        <f t="shared" si="18"/>
        <v>14350</v>
      </c>
      <c r="Z7" s="12">
        <f t="shared" si="19"/>
        <v>20125</v>
      </c>
      <c r="AA7" s="12">
        <f t="shared" si="20"/>
        <v>25900</v>
      </c>
      <c r="AB7" s="12">
        <f t="shared" si="21"/>
        <v>106400</v>
      </c>
    </row>
    <row r="8" spans="1:28">
      <c r="A8" t="s">
        <v>13</v>
      </c>
      <c r="B8" s="12">
        <v>210</v>
      </c>
      <c r="C8" s="13">
        <v>43</v>
      </c>
      <c r="D8" s="13">
        <v>23</v>
      </c>
      <c r="E8" s="13">
        <v>53</v>
      </c>
      <c r="F8" s="13">
        <v>23</v>
      </c>
      <c r="G8" s="13">
        <v>43</v>
      </c>
      <c r="H8" s="14">
        <f t="shared" si="13"/>
        <v>23</v>
      </c>
      <c r="I8" s="14">
        <f t="shared" si="0"/>
        <v>3</v>
      </c>
      <c r="J8" s="14">
        <f t="shared" si="1"/>
        <v>33</v>
      </c>
      <c r="K8" s="14">
        <f t="shared" si="2"/>
        <v>3</v>
      </c>
      <c r="L8" s="14">
        <f t="shared" si="3"/>
        <v>23</v>
      </c>
      <c r="M8" s="18">
        <f t="shared" si="14"/>
        <v>9030</v>
      </c>
      <c r="N8" s="18">
        <f t="shared" si="4"/>
        <v>4830</v>
      </c>
      <c r="O8" s="18">
        <f t="shared" si="5"/>
        <v>11130</v>
      </c>
      <c r="P8" s="18">
        <f t="shared" si="6"/>
        <v>4830</v>
      </c>
      <c r="Q8" s="18">
        <f t="shared" si="7"/>
        <v>9030</v>
      </c>
      <c r="R8" s="21">
        <f t="shared" si="15"/>
        <v>2415</v>
      </c>
      <c r="S8" s="21">
        <f t="shared" si="8"/>
        <v>315</v>
      </c>
      <c r="T8" s="21">
        <f t="shared" si="9"/>
        <v>3465</v>
      </c>
      <c r="U8" s="21">
        <f t="shared" si="10"/>
        <v>315</v>
      </c>
      <c r="V8" s="21">
        <f t="shared" si="11"/>
        <v>2415</v>
      </c>
      <c r="W8" s="12">
        <f t="shared" si="16"/>
        <v>11445</v>
      </c>
      <c r="X8" s="12">
        <f t="shared" si="17"/>
        <v>5145</v>
      </c>
      <c r="Y8" s="12">
        <f t="shared" si="18"/>
        <v>14595</v>
      </c>
      <c r="Z8" s="12">
        <f t="shared" si="19"/>
        <v>5145</v>
      </c>
      <c r="AA8" s="12">
        <f t="shared" si="20"/>
        <v>11445</v>
      </c>
      <c r="AB8" s="12">
        <f t="shared" si="21"/>
        <v>47775</v>
      </c>
    </row>
    <row r="9" spans="1:28">
      <c r="A9" t="s">
        <v>14</v>
      </c>
      <c r="B9" s="12">
        <v>345</v>
      </c>
      <c r="C9" s="13">
        <v>23</v>
      </c>
      <c r="D9" s="13">
        <v>45</v>
      </c>
      <c r="E9" s="13">
        <v>17</v>
      </c>
      <c r="F9" s="13">
        <v>45</v>
      </c>
      <c r="G9" s="13">
        <v>23</v>
      </c>
      <c r="H9" s="14">
        <f t="shared" si="13"/>
        <v>3</v>
      </c>
      <c r="I9" s="14">
        <f t="shared" si="0"/>
        <v>25</v>
      </c>
      <c r="J9" s="14">
        <f t="shared" si="1"/>
        <v>0</v>
      </c>
      <c r="K9" s="14">
        <f t="shared" si="2"/>
        <v>25</v>
      </c>
      <c r="L9" s="14">
        <f t="shared" si="3"/>
        <v>3</v>
      </c>
      <c r="M9" s="18">
        <f t="shared" si="14"/>
        <v>7935</v>
      </c>
      <c r="N9" s="18">
        <f t="shared" si="4"/>
        <v>15525</v>
      </c>
      <c r="O9" s="18">
        <f t="shared" si="5"/>
        <v>5865</v>
      </c>
      <c r="P9" s="18">
        <f t="shared" si="6"/>
        <v>15525</v>
      </c>
      <c r="Q9" s="18">
        <f t="shared" si="7"/>
        <v>7935</v>
      </c>
      <c r="R9" s="21">
        <f t="shared" si="15"/>
        <v>517.5</v>
      </c>
      <c r="S9" s="21">
        <f t="shared" si="8"/>
        <v>4312.5</v>
      </c>
      <c r="T9" s="21">
        <f t="shared" si="9"/>
        <v>0</v>
      </c>
      <c r="U9" s="21">
        <f t="shared" si="10"/>
        <v>4312.5</v>
      </c>
      <c r="V9" s="21">
        <f t="shared" si="11"/>
        <v>517.5</v>
      </c>
      <c r="W9" s="12">
        <f t="shared" si="16"/>
        <v>8452.5</v>
      </c>
      <c r="X9" s="12">
        <f t="shared" si="17"/>
        <v>19837.5</v>
      </c>
      <c r="Y9" s="12">
        <f t="shared" si="18"/>
        <v>5865</v>
      </c>
      <c r="Z9" s="12">
        <f t="shared" si="19"/>
        <v>19837.5</v>
      </c>
      <c r="AA9" s="12">
        <f t="shared" si="20"/>
        <v>8452.5</v>
      </c>
      <c r="AB9" s="12">
        <f t="shared" si="21"/>
        <v>62445</v>
      </c>
    </row>
    <row r="10" spans="1:28">
      <c r="A10" t="s">
        <v>15</v>
      </c>
      <c r="B10" s="12">
        <v>122</v>
      </c>
      <c r="C10" s="13">
        <v>16</v>
      </c>
      <c r="D10" s="13">
        <v>21</v>
      </c>
      <c r="E10" s="13">
        <v>34</v>
      </c>
      <c r="F10" s="13">
        <v>21</v>
      </c>
      <c r="G10" s="13">
        <v>16</v>
      </c>
      <c r="H10" s="14">
        <f t="shared" si="13"/>
        <v>0</v>
      </c>
      <c r="I10" s="14">
        <f t="shared" si="0"/>
        <v>1</v>
      </c>
      <c r="J10" s="14">
        <f t="shared" si="1"/>
        <v>14</v>
      </c>
      <c r="K10" s="14">
        <f t="shared" si="2"/>
        <v>1</v>
      </c>
      <c r="L10" s="14">
        <f t="shared" si="3"/>
        <v>0</v>
      </c>
      <c r="M10" s="18">
        <f t="shared" si="14"/>
        <v>1952</v>
      </c>
      <c r="N10" s="18">
        <f t="shared" si="4"/>
        <v>2562</v>
      </c>
      <c r="O10" s="18">
        <f t="shared" si="5"/>
        <v>4148</v>
      </c>
      <c r="P10" s="18">
        <f t="shared" si="6"/>
        <v>2562</v>
      </c>
      <c r="Q10" s="18">
        <f t="shared" si="7"/>
        <v>1952</v>
      </c>
      <c r="R10" s="21">
        <f t="shared" si="15"/>
        <v>0</v>
      </c>
      <c r="S10" s="21">
        <f t="shared" si="8"/>
        <v>61</v>
      </c>
      <c r="T10" s="21">
        <f t="shared" si="9"/>
        <v>854</v>
      </c>
      <c r="U10" s="21">
        <f t="shared" si="10"/>
        <v>61</v>
      </c>
      <c r="V10" s="21">
        <f t="shared" si="11"/>
        <v>0</v>
      </c>
      <c r="W10" s="12">
        <f t="shared" si="16"/>
        <v>1952</v>
      </c>
      <c r="X10" s="12">
        <f t="shared" si="17"/>
        <v>2623</v>
      </c>
      <c r="Y10" s="12">
        <f t="shared" si="18"/>
        <v>5002</v>
      </c>
      <c r="Z10" s="12">
        <f t="shared" si="19"/>
        <v>2623</v>
      </c>
      <c r="AA10" s="12">
        <f t="shared" si="20"/>
        <v>1952</v>
      </c>
      <c r="AB10" s="12">
        <f t="shared" si="21"/>
        <v>14152</v>
      </c>
    </row>
    <row r="11" spans="1:28">
      <c r="A11" t="s">
        <v>16</v>
      </c>
      <c r="B11" s="12">
        <v>480</v>
      </c>
      <c r="C11" s="13">
        <v>18</v>
      </c>
      <c r="D11" s="13">
        <v>36</v>
      </c>
      <c r="E11" s="13">
        <v>25</v>
      </c>
      <c r="F11" s="13">
        <v>36</v>
      </c>
      <c r="G11" s="13">
        <v>18</v>
      </c>
      <c r="H11" s="14">
        <f t="shared" si="13"/>
        <v>0</v>
      </c>
      <c r="I11" s="14">
        <f t="shared" si="0"/>
        <v>16</v>
      </c>
      <c r="J11" s="14">
        <f t="shared" si="1"/>
        <v>5</v>
      </c>
      <c r="K11" s="14">
        <f t="shared" si="2"/>
        <v>16</v>
      </c>
      <c r="L11" s="14">
        <f t="shared" si="3"/>
        <v>0</v>
      </c>
      <c r="M11" s="18">
        <f t="shared" si="14"/>
        <v>8640</v>
      </c>
      <c r="N11" s="18">
        <f t="shared" si="4"/>
        <v>17280</v>
      </c>
      <c r="O11" s="18">
        <f t="shared" si="5"/>
        <v>12000</v>
      </c>
      <c r="P11" s="18">
        <f t="shared" si="6"/>
        <v>17280</v>
      </c>
      <c r="Q11" s="18">
        <f t="shared" si="7"/>
        <v>8640</v>
      </c>
      <c r="R11" s="21">
        <f t="shared" si="15"/>
        <v>0</v>
      </c>
      <c r="S11" s="21">
        <f t="shared" si="8"/>
        <v>3840</v>
      </c>
      <c r="T11" s="21">
        <f t="shared" si="9"/>
        <v>1200</v>
      </c>
      <c r="U11" s="21">
        <f t="shared" si="10"/>
        <v>3840</v>
      </c>
      <c r="V11" s="21">
        <f t="shared" si="11"/>
        <v>0</v>
      </c>
      <c r="W11" s="12">
        <f t="shared" si="16"/>
        <v>8640</v>
      </c>
      <c r="X11" s="12">
        <f t="shared" si="17"/>
        <v>21120</v>
      </c>
      <c r="Y11" s="12">
        <f t="shared" si="18"/>
        <v>13200</v>
      </c>
      <c r="Z11" s="12">
        <f t="shared" si="19"/>
        <v>21120</v>
      </c>
      <c r="AA11" s="12">
        <f t="shared" si="20"/>
        <v>8640</v>
      </c>
      <c r="AB11" s="12">
        <f t="shared" si="21"/>
        <v>72720</v>
      </c>
    </row>
    <row r="12" spans="1:28">
      <c r="A12" t="s">
        <v>17</v>
      </c>
      <c r="B12" s="12">
        <v>340</v>
      </c>
      <c r="C12" s="13">
        <v>56</v>
      </c>
      <c r="D12" s="13">
        <v>14</v>
      </c>
      <c r="E12" s="13">
        <v>43</v>
      </c>
      <c r="F12" s="13">
        <v>14</v>
      </c>
      <c r="G12" s="13">
        <v>56</v>
      </c>
      <c r="H12" s="14">
        <f t="shared" si="13"/>
        <v>36</v>
      </c>
      <c r="I12" s="14">
        <f t="shared" si="0"/>
        <v>0</v>
      </c>
      <c r="J12" s="14">
        <f t="shared" si="1"/>
        <v>23</v>
      </c>
      <c r="K12" s="14">
        <f t="shared" si="2"/>
        <v>0</v>
      </c>
      <c r="L12" s="14">
        <f t="shared" si="3"/>
        <v>36</v>
      </c>
      <c r="M12" s="18">
        <f t="shared" si="14"/>
        <v>19040</v>
      </c>
      <c r="N12" s="18">
        <f t="shared" si="4"/>
        <v>4760</v>
      </c>
      <c r="O12" s="18">
        <f t="shared" si="5"/>
        <v>14620</v>
      </c>
      <c r="P12" s="18">
        <f t="shared" si="6"/>
        <v>4760</v>
      </c>
      <c r="Q12" s="18">
        <f t="shared" si="7"/>
        <v>19040</v>
      </c>
      <c r="R12" s="21">
        <f t="shared" si="15"/>
        <v>6120</v>
      </c>
      <c r="S12" s="21">
        <f t="shared" si="8"/>
        <v>0</v>
      </c>
      <c r="T12" s="21">
        <f t="shared" si="9"/>
        <v>3910</v>
      </c>
      <c r="U12" s="21">
        <f t="shared" si="10"/>
        <v>0</v>
      </c>
      <c r="V12" s="21">
        <f t="shared" si="11"/>
        <v>6120</v>
      </c>
      <c r="W12" s="12">
        <f t="shared" si="16"/>
        <v>25160</v>
      </c>
      <c r="X12" s="12">
        <f t="shared" si="17"/>
        <v>4760</v>
      </c>
      <c r="Y12" s="12">
        <f t="shared" si="18"/>
        <v>18530</v>
      </c>
      <c r="Z12" s="12">
        <f t="shared" si="19"/>
        <v>4760</v>
      </c>
      <c r="AA12" s="12">
        <f t="shared" si="20"/>
        <v>25160</v>
      </c>
      <c r="AB12" s="12">
        <f t="shared" si="21"/>
        <v>78370</v>
      </c>
    </row>
    <row r="13" spans="1:28">
      <c r="A13" t="s">
        <v>18</v>
      </c>
      <c r="B13" s="12">
        <v>120</v>
      </c>
      <c r="C13" s="13">
        <v>23</v>
      </c>
      <c r="D13" s="13">
        <v>15</v>
      </c>
      <c r="E13" s="13">
        <v>30</v>
      </c>
      <c r="F13" s="13">
        <v>15</v>
      </c>
      <c r="G13" s="13">
        <v>23</v>
      </c>
      <c r="H13" s="14">
        <f t="shared" si="13"/>
        <v>3</v>
      </c>
      <c r="I13" s="14">
        <f t="shared" si="0"/>
        <v>0</v>
      </c>
      <c r="J13" s="14">
        <f t="shared" si="1"/>
        <v>10</v>
      </c>
      <c r="K13" s="14">
        <f t="shared" si="2"/>
        <v>0</v>
      </c>
      <c r="L13" s="14">
        <f t="shared" si="3"/>
        <v>3</v>
      </c>
      <c r="M13" s="18">
        <f t="shared" si="14"/>
        <v>2760</v>
      </c>
      <c r="N13" s="18">
        <f t="shared" si="4"/>
        <v>1800</v>
      </c>
      <c r="O13" s="18">
        <f t="shared" si="5"/>
        <v>3600</v>
      </c>
      <c r="P13" s="18">
        <f t="shared" si="6"/>
        <v>1800</v>
      </c>
      <c r="Q13" s="18">
        <f t="shared" si="7"/>
        <v>2760</v>
      </c>
      <c r="R13" s="21">
        <f t="shared" si="15"/>
        <v>180</v>
      </c>
      <c r="S13" s="21">
        <f t="shared" si="8"/>
        <v>0</v>
      </c>
      <c r="T13" s="21">
        <f t="shared" si="9"/>
        <v>600</v>
      </c>
      <c r="U13" s="21">
        <f t="shared" si="10"/>
        <v>0</v>
      </c>
      <c r="V13" s="21">
        <f t="shared" si="11"/>
        <v>180</v>
      </c>
      <c r="W13" s="12">
        <f t="shared" si="16"/>
        <v>2940</v>
      </c>
      <c r="X13" s="12">
        <f t="shared" si="17"/>
        <v>1800</v>
      </c>
      <c r="Y13" s="12">
        <f t="shared" si="18"/>
        <v>4200</v>
      </c>
      <c r="Z13" s="12">
        <f t="shared" si="19"/>
        <v>1800</v>
      </c>
      <c r="AA13" s="12">
        <f t="shared" si="20"/>
        <v>2940</v>
      </c>
      <c r="AB13" s="12">
        <f t="shared" si="21"/>
        <v>13680</v>
      </c>
    </row>
    <row r="14" spans="1:28">
      <c r="A14" t="s">
        <v>19</v>
      </c>
      <c r="B14" s="12">
        <v>420</v>
      </c>
      <c r="C14" s="13">
        <v>12</v>
      </c>
      <c r="D14" s="13">
        <v>56</v>
      </c>
      <c r="E14" s="13">
        <v>12</v>
      </c>
      <c r="F14" s="13">
        <v>56</v>
      </c>
      <c r="G14" s="13">
        <v>12</v>
      </c>
      <c r="H14" s="14">
        <f t="shared" si="13"/>
        <v>0</v>
      </c>
      <c r="I14" s="14">
        <f t="shared" si="0"/>
        <v>36</v>
      </c>
      <c r="J14" s="14">
        <f t="shared" si="1"/>
        <v>0</v>
      </c>
      <c r="K14" s="14">
        <f t="shared" si="2"/>
        <v>36</v>
      </c>
      <c r="L14" s="14">
        <f t="shared" si="3"/>
        <v>0</v>
      </c>
      <c r="M14" s="18">
        <f t="shared" si="14"/>
        <v>5040</v>
      </c>
      <c r="N14" s="18">
        <f t="shared" si="4"/>
        <v>23520</v>
      </c>
      <c r="O14" s="18">
        <f t="shared" si="5"/>
        <v>5040</v>
      </c>
      <c r="P14" s="18">
        <f t="shared" si="6"/>
        <v>23520</v>
      </c>
      <c r="Q14" s="18">
        <f t="shared" si="7"/>
        <v>5040</v>
      </c>
      <c r="R14" s="21">
        <f t="shared" si="15"/>
        <v>0</v>
      </c>
      <c r="S14" s="21">
        <f t="shared" si="8"/>
        <v>7560</v>
      </c>
      <c r="T14" s="21">
        <f t="shared" si="9"/>
        <v>0</v>
      </c>
      <c r="U14" s="21">
        <f t="shared" si="10"/>
        <v>7560</v>
      </c>
      <c r="V14" s="21">
        <f t="shared" si="11"/>
        <v>0</v>
      </c>
      <c r="W14" s="12">
        <f t="shared" si="16"/>
        <v>5040</v>
      </c>
      <c r="X14" s="12">
        <f t="shared" si="17"/>
        <v>31080</v>
      </c>
      <c r="Y14" s="12">
        <f t="shared" si="18"/>
        <v>5040</v>
      </c>
      <c r="Z14" s="12">
        <f t="shared" si="19"/>
        <v>31080</v>
      </c>
      <c r="AA14" s="12">
        <f t="shared" si="20"/>
        <v>5040</v>
      </c>
      <c r="AB14" s="12">
        <f t="shared" si="21"/>
        <v>77280</v>
      </c>
    </row>
    <row r="15" spans="23:23">
      <c r="W15" s="12">
        <f>M15+N15</f>
        <v>0</v>
      </c>
    </row>
    <row r="16" spans="1:34">
      <c r="A16" t="s">
        <v>20</v>
      </c>
      <c r="B16" s="15">
        <f>MAX(B3:B14)</f>
        <v>500</v>
      </c>
      <c r="D16" s="15"/>
      <c r="F16" s="15"/>
      <c r="M16" s="15">
        <f t="shared" ref="M16:V16" si="22">MAX(M3:M14)</f>
        <v>19600</v>
      </c>
      <c r="N16" s="15">
        <f t="shared" si="22"/>
        <v>26000</v>
      </c>
      <c r="O16" s="15">
        <f t="shared" si="22"/>
        <v>14620</v>
      </c>
      <c r="P16" s="15">
        <f t="shared" si="22"/>
        <v>26000</v>
      </c>
      <c r="Q16" s="15">
        <f t="shared" si="22"/>
        <v>19600</v>
      </c>
      <c r="R16" s="15">
        <f t="shared" si="22"/>
        <v>6300</v>
      </c>
      <c r="S16" s="15">
        <f t="shared" si="22"/>
        <v>8000</v>
      </c>
      <c r="T16" s="15">
        <f t="shared" si="22"/>
        <v>3910</v>
      </c>
      <c r="U16" s="15">
        <f t="shared" si="22"/>
        <v>8000</v>
      </c>
      <c r="V16" s="15">
        <f t="shared" si="22"/>
        <v>6300</v>
      </c>
      <c r="W16" s="15">
        <f t="shared" ref="W16:AH16" si="23">MAX(W3:W14)</f>
        <v>25900</v>
      </c>
      <c r="X16" s="15">
        <f t="shared" si="23"/>
        <v>34000</v>
      </c>
      <c r="Y16" s="15">
        <f t="shared" si="23"/>
        <v>18530</v>
      </c>
      <c r="Z16" s="15">
        <f t="shared" si="23"/>
        <v>34000</v>
      </c>
      <c r="AA16" s="15">
        <f t="shared" si="23"/>
        <v>25900</v>
      </c>
      <c r="AB16" s="15">
        <f t="shared" si="23"/>
        <v>106400</v>
      </c>
      <c r="AC16" s="15"/>
      <c r="AD16" s="15"/>
      <c r="AE16" s="15"/>
      <c r="AF16" s="15"/>
      <c r="AG16" s="15"/>
      <c r="AH16" s="15"/>
    </row>
    <row r="17" spans="1:34">
      <c r="A17" t="s">
        <v>21</v>
      </c>
      <c r="B17" s="15">
        <f>MIN(B3:B14)</f>
        <v>120</v>
      </c>
      <c r="D17" s="15"/>
      <c r="F17" s="15"/>
      <c r="M17" s="15">
        <f t="shared" ref="M17:V17" si="24">MIN(M3:M14)</f>
        <v>1952</v>
      </c>
      <c r="N17" s="15">
        <f t="shared" si="24"/>
        <v>1800</v>
      </c>
      <c r="O17" s="15">
        <f t="shared" si="24"/>
        <v>3600</v>
      </c>
      <c r="P17" s="15">
        <f t="shared" si="24"/>
        <v>1800</v>
      </c>
      <c r="Q17" s="15">
        <f t="shared" si="24"/>
        <v>1952</v>
      </c>
      <c r="R17" s="15">
        <f t="shared" si="24"/>
        <v>0</v>
      </c>
      <c r="S17" s="15">
        <f t="shared" si="24"/>
        <v>0</v>
      </c>
      <c r="T17" s="15">
        <f t="shared" si="24"/>
        <v>0</v>
      </c>
      <c r="U17" s="15">
        <f t="shared" si="24"/>
        <v>0</v>
      </c>
      <c r="V17" s="15">
        <f t="shared" si="24"/>
        <v>0</v>
      </c>
      <c r="W17" s="15">
        <f t="shared" ref="W17:AH17" si="25">MIN(W3:W14)</f>
        <v>1952</v>
      </c>
      <c r="X17" s="15">
        <f t="shared" si="25"/>
        <v>1800</v>
      </c>
      <c r="Y17" s="15">
        <f t="shared" si="25"/>
        <v>4200</v>
      </c>
      <c r="Z17" s="15">
        <f t="shared" si="25"/>
        <v>1800</v>
      </c>
      <c r="AA17" s="15">
        <f t="shared" si="25"/>
        <v>1952</v>
      </c>
      <c r="AB17" s="15">
        <f t="shared" si="25"/>
        <v>13680</v>
      </c>
      <c r="AC17" s="15"/>
      <c r="AD17" s="15"/>
      <c r="AE17" s="15"/>
      <c r="AF17" s="15"/>
      <c r="AG17" s="15"/>
      <c r="AH17" s="15"/>
    </row>
    <row r="18" spans="1:34">
      <c r="A18" t="s">
        <v>22</v>
      </c>
      <c r="B18" s="15">
        <f>AVERAGE(B3:B14)</f>
        <v>310.583333333333</v>
      </c>
      <c r="C18" s="16"/>
      <c r="D18" s="15"/>
      <c r="E18" s="16"/>
      <c r="F18" s="15"/>
      <c r="G18" s="16"/>
      <c r="H18" s="16"/>
      <c r="I18" s="16"/>
      <c r="J18" s="16"/>
      <c r="K18" s="16"/>
      <c r="L18" s="16"/>
      <c r="M18" s="15">
        <f t="shared" ref="M18:V18" si="26">AVERAGE(M3:M14)</f>
        <v>9216.41666666667</v>
      </c>
      <c r="N18" s="15">
        <f t="shared" si="26"/>
        <v>10310.5833333333</v>
      </c>
      <c r="O18" s="15">
        <f t="shared" si="26"/>
        <v>8225.25</v>
      </c>
      <c r="P18" s="15">
        <f t="shared" si="26"/>
        <v>10310.5833333333</v>
      </c>
      <c r="Q18" s="15">
        <f t="shared" si="26"/>
        <v>9216.41666666667</v>
      </c>
      <c r="R18" s="15">
        <f t="shared" si="26"/>
        <v>1702.70833333333</v>
      </c>
      <c r="S18" s="15">
        <f t="shared" si="26"/>
        <v>2371.95833333333</v>
      </c>
      <c r="T18" s="15">
        <f t="shared" si="26"/>
        <v>1356.58333333333</v>
      </c>
      <c r="U18" s="15">
        <f t="shared" si="26"/>
        <v>2371.95833333333</v>
      </c>
      <c r="V18" s="15">
        <f t="shared" si="26"/>
        <v>1702.70833333333</v>
      </c>
      <c r="W18" s="15">
        <f t="shared" ref="W18:AH18" si="27">AVERAGE(W3:W14)</f>
        <v>10919.125</v>
      </c>
      <c r="X18" s="15">
        <f t="shared" si="27"/>
        <v>12682.5416666667</v>
      </c>
      <c r="Y18" s="15">
        <f t="shared" si="27"/>
        <v>9581.83333333333</v>
      </c>
      <c r="Z18" s="15">
        <f t="shared" si="27"/>
        <v>12682.5416666667</v>
      </c>
      <c r="AA18" s="15">
        <f t="shared" si="27"/>
        <v>10919.125</v>
      </c>
      <c r="AB18" s="15">
        <f t="shared" si="27"/>
        <v>56785.1666666667</v>
      </c>
      <c r="AC18" s="15"/>
      <c r="AD18" s="15"/>
      <c r="AE18" s="15"/>
      <c r="AF18" s="15"/>
      <c r="AG18" s="15"/>
      <c r="AH18" s="15"/>
    </row>
    <row r="19" spans="1:34">
      <c r="A19" t="s">
        <v>23</v>
      </c>
      <c r="C19" s="6"/>
      <c r="E19" s="6"/>
      <c r="G19" s="6"/>
      <c r="H19" s="6"/>
      <c r="I19" s="6"/>
      <c r="J19" s="6"/>
      <c r="K19" s="6"/>
      <c r="L19" s="6"/>
      <c r="M19" s="12">
        <f t="shared" ref="M19:V19" si="28">SUM(M3:M14)</f>
        <v>110597</v>
      </c>
      <c r="N19" s="12">
        <f t="shared" si="28"/>
        <v>123727</v>
      </c>
      <c r="O19" s="12">
        <f t="shared" si="28"/>
        <v>98703</v>
      </c>
      <c r="P19" s="12">
        <f t="shared" si="28"/>
        <v>123727</v>
      </c>
      <c r="Q19" s="12">
        <f t="shared" si="28"/>
        <v>110597</v>
      </c>
      <c r="R19" s="12">
        <f t="shared" si="28"/>
        <v>20432.5</v>
      </c>
      <c r="S19" s="12">
        <f t="shared" si="28"/>
        <v>28463.5</v>
      </c>
      <c r="T19" s="12">
        <f t="shared" si="28"/>
        <v>16279</v>
      </c>
      <c r="U19" s="12">
        <f t="shared" si="28"/>
        <v>28463.5</v>
      </c>
      <c r="V19" s="12">
        <f t="shared" si="28"/>
        <v>20432.5</v>
      </c>
      <c r="W19" s="12">
        <f t="shared" ref="W19:AH19" si="29">SUM(W3:W14)</f>
        <v>131029.5</v>
      </c>
      <c r="X19" s="12">
        <f t="shared" si="29"/>
        <v>152190.5</v>
      </c>
      <c r="Y19" s="12">
        <f t="shared" si="29"/>
        <v>114982</v>
      </c>
      <c r="Z19" s="12">
        <f t="shared" si="29"/>
        <v>152190.5</v>
      </c>
      <c r="AA19" s="12">
        <f t="shared" si="29"/>
        <v>131029.5</v>
      </c>
      <c r="AB19" s="12">
        <f t="shared" si="29"/>
        <v>681422</v>
      </c>
      <c r="AC19" s="12"/>
      <c r="AD19" s="12"/>
      <c r="AE19" s="12"/>
      <c r="AF19" s="12"/>
      <c r="AG19" s="12"/>
      <c r="AH19" s="12"/>
    </row>
  </sheetData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zoomScale="70" zoomScaleNormal="70" topLeftCell="F1" workbookViewId="0">
      <selection activeCell="L13" sqref="L13"/>
    </sheetView>
  </sheetViews>
  <sheetFormatPr defaultColWidth="9.14285714285714" defaultRowHeight="15"/>
  <cols>
    <col min="1" max="1" width="18.8571428571429" customWidth="1"/>
    <col min="2" max="2" width="19.2857142857143" customWidth="1"/>
    <col min="3" max="4" width="12.8571428571429"/>
  </cols>
  <sheetData>
    <row r="1" ht="115.55" spans="1:10">
      <c r="A1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G1" s="8" t="s">
        <v>25</v>
      </c>
      <c r="H1" s="8" t="s">
        <v>26</v>
      </c>
      <c r="I1" s="8" t="s">
        <v>27</v>
      </c>
      <c r="J1" s="8" t="s">
        <v>28</v>
      </c>
    </row>
    <row r="2" spans="2:12">
      <c r="B2">
        <v>10</v>
      </c>
      <c r="C2">
        <v>20</v>
      </c>
      <c r="D2">
        <v>100</v>
      </c>
      <c r="E2">
        <v>1</v>
      </c>
      <c r="L2" t="s">
        <v>29</v>
      </c>
    </row>
    <row r="3" spans="1:1">
      <c r="A3" t="s">
        <v>30</v>
      </c>
    </row>
    <row r="4" spans="1:12">
      <c r="A4" t="s">
        <v>8</v>
      </c>
      <c r="B4">
        <v>10</v>
      </c>
      <c r="C4">
        <v>15</v>
      </c>
      <c r="D4">
        <v>80</v>
      </c>
      <c r="E4">
        <v>1</v>
      </c>
      <c r="G4" s="9">
        <f>B2/B$4</f>
        <v>1</v>
      </c>
      <c r="H4" s="9">
        <f>C4/C$2</f>
        <v>0.75</v>
      </c>
      <c r="I4" s="9">
        <f>D4/D$2</f>
        <v>0.8</v>
      </c>
      <c r="J4" s="9">
        <f>E4/E$2</f>
        <v>1</v>
      </c>
      <c r="L4" t="b">
        <f>OR(G4&lt;0.5,H4&lt;0.5,I4&lt;0.5,J4&lt;0.5)</f>
        <v>0</v>
      </c>
    </row>
    <row r="5" spans="1:12">
      <c r="A5" t="s">
        <v>9</v>
      </c>
      <c r="B5">
        <v>6</v>
      </c>
      <c r="C5">
        <v>17</v>
      </c>
      <c r="D5">
        <v>70</v>
      </c>
      <c r="E5">
        <v>1</v>
      </c>
      <c r="G5" s="9">
        <f t="shared" ref="G5:G15" si="0">B3/B$4</f>
        <v>0</v>
      </c>
      <c r="H5" s="9">
        <f t="shared" ref="H5:H15" si="1">C5/C$2</f>
        <v>0.85</v>
      </c>
      <c r="I5" s="9">
        <f t="shared" ref="I5:I25" si="2">D5/D$2</f>
        <v>0.7</v>
      </c>
      <c r="J5" s="9">
        <f t="shared" ref="J5:J25" si="3">E5/E$2</f>
        <v>1</v>
      </c>
      <c r="L5" t="b">
        <f t="shared" ref="L5:L15" si="4">OR(G5&lt;0.5,H5&lt;0.5,I5&lt;0.5,J5&lt;0.5)</f>
        <v>1</v>
      </c>
    </row>
    <row r="6" spans="1:12">
      <c r="A6" t="s">
        <v>10</v>
      </c>
      <c r="B6">
        <v>7</v>
      </c>
      <c r="C6">
        <v>18</v>
      </c>
      <c r="D6">
        <v>50</v>
      </c>
      <c r="E6">
        <v>1</v>
      </c>
      <c r="G6" s="9">
        <f t="shared" si="0"/>
        <v>1</v>
      </c>
      <c r="H6" s="9">
        <f t="shared" si="1"/>
        <v>0.9</v>
      </c>
      <c r="I6" s="9">
        <f t="shared" si="2"/>
        <v>0.5</v>
      </c>
      <c r="J6" s="9">
        <f t="shared" si="3"/>
        <v>1</v>
      </c>
      <c r="L6" t="b">
        <f t="shared" si="4"/>
        <v>0</v>
      </c>
    </row>
    <row r="7" spans="1:12">
      <c r="A7" t="s">
        <v>11</v>
      </c>
      <c r="B7">
        <v>8</v>
      </c>
      <c r="C7">
        <v>20</v>
      </c>
      <c r="D7">
        <v>60</v>
      </c>
      <c r="E7">
        <v>1</v>
      </c>
      <c r="G7" s="9">
        <f t="shared" si="0"/>
        <v>0.6</v>
      </c>
      <c r="H7" s="9">
        <f t="shared" si="1"/>
        <v>1</v>
      </c>
      <c r="I7" s="9">
        <f t="shared" si="2"/>
        <v>0.6</v>
      </c>
      <c r="J7" s="9">
        <f t="shared" si="3"/>
        <v>1</v>
      </c>
      <c r="L7" t="b">
        <f t="shared" si="4"/>
        <v>0</v>
      </c>
    </row>
    <row r="8" spans="1:12">
      <c r="A8" t="s">
        <v>12</v>
      </c>
      <c r="B8">
        <v>10</v>
      </c>
      <c r="C8">
        <v>12</v>
      </c>
      <c r="D8">
        <v>80</v>
      </c>
      <c r="E8">
        <v>1</v>
      </c>
      <c r="G8" s="9">
        <f t="shared" si="0"/>
        <v>0.7</v>
      </c>
      <c r="H8" s="9">
        <f t="shared" si="1"/>
        <v>0.6</v>
      </c>
      <c r="I8" s="9">
        <f t="shared" si="2"/>
        <v>0.8</v>
      </c>
      <c r="J8" s="9">
        <f t="shared" si="3"/>
        <v>1</v>
      </c>
      <c r="L8" t="b">
        <f t="shared" si="4"/>
        <v>0</v>
      </c>
    </row>
    <row r="9" spans="1:12">
      <c r="A9" t="s">
        <v>13</v>
      </c>
      <c r="B9">
        <v>9</v>
      </c>
      <c r="C9">
        <v>15</v>
      </c>
      <c r="D9">
        <v>75</v>
      </c>
      <c r="E9">
        <v>1</v>
      </c>
      <c r="G9" s="9">
        <f t="shared" si="0"/>
        <v>0.8</v>
      </c>
      <c r="H9" s="9">
        <f t="shared" si="1"/>
        <v>0.75</v>
      </c>
      <c r="I9" s="9">
        <f t="shared" si="2"/>
        <v>0.75</v>
      </c>
      <c r="J9" s="9">
        <f t="shared" si="3"/>
        <v>1</v>
      </c>
      <c r="L9" t="b">
        <f t="shared" si="4"/>
        <v>0</v>
      </c>
    </row>
    <row r="10" spans="1:12">
      <c r="A10" t="s">
        <v>14</v>
      </c>
      <c r="B10">
        <v>8</v>
      </c>
      <c r="C10">
        <v>12</v>
      </c>
      <c r="D10">
        <v>100</v>
      </c>
      <c r="E10">
        <v>0</v>
      </c>
      <c r="G10" s="9">
        <f t="shared" si="0"/>
        <v>1</v>
      </c>
      <c r="H10" s="9">
        <f t="shared" si="1"/>
        <v>0.6</v>
      </c>
      <c r="I10" s="9">
        <f t="shared" si="2"/>
        <v>1</v>
      </c>
      <c r="J10" s="9">
        <f t="shared" si="3"/>
        <v>0</v>
      </c>
      <c r="L10" t="b">
        <f t="shared" si="4"/>
        <v>1</v>
      </c>
    </row>
    <row r="11" spans="1:12">
      <c r="A11" t="s">
        <v>15</v>
      </c>
      <c r="B11">
        <v>9</v>
      </c>
      <c r="C11">
        <v>7</v>
      </c>
      <c r="D11">
        <v>50</v>
      </c>
      <c r="E11">
        <v>1</v>
      </c>
      <c r="G11" s="9">
        <f t="shared" si="0"/>
        <v>0.9</v>
      </c>
      <c r="H11" s="9">
        <f t="shared" si="1"/>
        <v>0.35</v>
      </c>
      <c r="I11" s="9">
        <f t="shared" si="2"/>
        <v>0.5</v>
      </c>
      <c r="J11" s="9">
        <f t="shared" si="3"/>
        <v>1</v>
      </c>
      <c r="L11" t="b">
        <f t="shared" si="4"/>
        <v>1</v>
      </c>
    </row>
    <row r="12" spans="1:12">
      <c r="A12" t="s">
        <v>16</v>
      </c>
      <c r="B12">
        <v>10</v>
      </c>
      <c r="C12">
        <v>12</v>
      </c>
      <c r="D12">
        <v>70</v>
      </c>
      <c r="E12">
        <v>1</v>
      </c>
      <c r="G12" s="9">
        <f t="shared" si="0"/>
        <v>0.8</v>
      </c>
      <c r="H12" s="9">
        <f t="shared" si="1"/>
        <v>0.6</v>
      </c>
      <c r="I12" s="9">
        <f t="shared" si="2"/>
        <v>0.7</v>
      </c>
      <c r="J12" s="9">
        <f t="shared" si="3"/>
        <v>1</v>
      </c>
      <c r="L12" t="b">
        <f t="shared" si="4"/>
        <v>0</v>
      </c>
    </row>
    <row r="13" spans="1:12">
      <c r="A13" t="s">
        <v>17</v>
      </c>
      <c r="B13">
        <v>8</v>
      </c>
      <c r="C13">
        <v>19</v>
      </c>
      <c r="D13">
        <v>80</v>
      </c>
      <c r="E13">
        <v>0</v>
      </c>
      <c r="G13" s="9">
        <f t="shared" si="0"/>
        <v>0.9</v>
      </c>
      <c r="H13" s="9">
        <f t="shared" si="1"/>
        <v>0.95</v>
      </c>
      <c r="I13" s="9">
        <f t="shared" si="2"/>
        <v>0.8</v>
      </c>
      <c r="J13" s="9">
        <f t="shared" si="3"/>
        <v>0</v>
      </c>
      <c r="L13" t="b">
        <f t="shared" si="4"/>
        <v>1</v>
      </c>
    </row>
    <row r="14" spans="1:12">
      <c r="A14" t="s">
        <v>18</v>
      </c>
      <c r="B14">
        <v>7</v>
      </c>
      <c r="C14">
        <v>20</v>
      </c>
      <c r="D14">
        <v>70</v>
      </c>
      <c r="E14">
        <v>1</v>
      </c>
      <c r="G14" s="9">
        <f t="shared" si="0"/>
        <v>1</v>
      </c>
      <c r="H14" s="9">
        <f t="shared" si="1"/>
        <v>1</v>
      </c>
      <c r="I14" s="9">
        <f t="shared" si="2"/>
        <v>0.7</v>
      </c>
      <c r="J14" s="9">
        <f t="shared" si="3"/>
        <v>1</v>
      </c>
      <c r="L14" t="b">
        <f t="shared" si="4"/>
        <v>0</v>
      </c>
    </row>
    <row r="15" spans="1:12">
      <c r="A15" t="s">
        <v>19</v>
      </c>
      <c r="B15">
        <v>8</v>
      </c>
      <c r="C15">
        <v>20</v>
      </c>
      <c r="D15">
        <v>90</v>
      </c>
      <c r="E15">
        <v>0</v>
      </c>
      <c r="G15" s="9">
        <f t="shared" si="0"/>
        <v>0.8</v>
      </c>
      <c r="H15" s="9">
        <f t="shared" si="1"/>
        <v>1</v>
      </c>
      <c r="I15" s="9">
        <f t="shared" si="2"/>
        <v>0.9</v>
      </c>
      <c r="J15" s="9">
        <f t="shared" si="3"/>
        <v>0</v>
      </c>
      <c r="L15" t="b">
        <f t="shared" si="4"/>
        <v>1</v>
      </c>
    </row>
    <row r="16" spans="9:10">
      <c r="I16" s="9"/>
      <c r="J16" s="9"/>
    </row>
    <row r="17" spans="1:10">
      <c r="A17" t="s">
        <v>20</v>
      </c>
      <c r="B17">
        <f t="shared" ref="B17:J17" si="5">MAX(B4:B15)</f>
        <v>10</v>
      </c>
      <c r="C17">
        <f t="shared" si="5"/>
        <v>20</v>
      </c>
      <c r="D17">
        <f t="shared" si="5"/>
        <v>100</v>
      </c>
      <c r="E17">
        <f t="shared" si="5"/>
        <v>1</v>
      </c>
      <c r="G17" s="9">
        <f t="shared" si="5"/>
        <v>1</v>
      </c>
      <c r="H17" s="9">
        <f t="shared" si="5"/>
        <v>1</v>
      </c>
      <c r="I17" s="9">
        <f t="shared" si="5"/>
        <v>1</v>
      </c>
      <c r="J17" s="9">
        <f t="shared" si="5"/>
        <v>1</v>
      </c>
    </row>
    <row r="18" spans="1:10">
      <c r="A18" t="s">
        <v>21</v>
      </c>
      <c r="B18">
        <f t="shared" ref="B18:J18" si="6">MIN(B4:B15)</f>
        <v>6</v>
      </c>
      <c r="C18">
        <f t="shared" si="6"/>
        <v>7</v>
      </c>
      <c r="D18">
        <f t="shared" si="6"/>
        <v>50</v>
      </c>
      <c r="E18">
        <f t="shared" si="6"/>
        <v>0</v>
      </c>
      <c r="G18" s="9">
        <f t="shared" si="6"/>
        <v>0</v>
      </c>
      <c r="H18" s="9">
        <f t="shared" si="6"/>
        <v>0.35</v>
      </c>
      <c r="I18" s="9">
        <f t="shared" si="6"/>
        <v>0.5</v>
      </c>
      <c r="J18" s="9">
        <f t="shared" si="6"/>
        <v>0</v>
      </c>
    </row>
    <row r="19" spans="1:10">
      <c r="A19" t="s">
        <v>31</v>
      </c>
      <c r="B19">
        <f t="shared" ref="B19:J19" si="7">AVERAGE(B4:B15)</f>
        <v>8.33333333333333</v>
      </c>
      <c r="C19">
        <f t="shared" si="7"/>
        <v>15.5833333333333</v>
      </c>
      <c r="D19">
        <f t="shared" si="7"/>
        <v>72.9166666666667</v>
      </c>
      <c r="E19">
        <f t="shared" si="7"/>
        <v>0.75</v>
      </c>
      <c r="G19" s="9">
        <f t="shared" si="7"/>
        <v>0.791666666666667</v>
      </c>
      <c r="H19" s="9">
        <f t="shared" si="7"/>
        <v>0.779166666666666</v>
      </c>
      <c r="I19" s="9">
        <f t="shared" si="7"/>
        <v>0.729166666666667</v>
      </c>
      <c r="J19" s="9">
        <f t="shared" si="7"/>
        <v>0.75</v>
      </c>
    </row>
    <row r="20" spans="9:10">
      <c r="I20" s="9"/>
      <c r="J20" s="9"/>
    </row>
    <row r="21" spans="9:10">
      <c r="I21" s="9"/>
      <c r="J21" s="9"/>
    </row>
    <row r="22" spans="9:10">
      <c r="I22" s="9"/>
      <c r="J22" s="9"/>
    </row>
    <row r="23" spans="9:10">
      <c r="I23" s="9"/>
      <c r="J23" s="9"/>
    </row>
    <row r="24" spans="9:10">
      <c r="I24" s="9"/>
      <c r="J24" s="9"/>
    </row>
    <row r="25" spans="9:10">
      <c r="I25" s="9"/>
      <c r="J25" s="9"/>
    </row>
  </sheetData>
  <conditionalFormatting sqref="B4:B15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:C15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15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5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L4:L15">
    <cfRule type="cellIs" dxfId="0" priority="1" operator="equal">
      <formula>TRUE</formula>
    </cfRule>
  </conditionalFormatting>
  <conditionalFormatting sqref="G4:J15">
    <cfRule type="cellIs" dxfId="0" priority="2" operator="lessThan">
      <formula>0.5</formula>
    </cfRule>
  </conditionalFormatting>
  <pageMargins left="0.75" right="0.75" top="1" bottom="1" header="0.5" footer="0.5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workbookViewId="0">
      <selection activeCell="D16" sqref="D16:D17"/>
    </sheetView>
  </sheetViews>
  <sheetFormatPr defaultColWidth="9.14285714285714" defaultRowHeight="15" outlineLevelRow="7"/>
  <cols>
    <col min="1" max="1" width="20.7142857142857" customWidth="1"/>
    <col min="2" max="2" width="13.8571428571429" customWidth="1"/>
    <col min="3" max="4" width="15.5714285714286" customWidth="1"/>
    <col min="5" max="6" width="12.2857142857143" customWidth="1"/>
    <col min="10" max="10" width="9" customWidth="1"/>
    <col min="11" max="12" width="11.5714285714286" customWidth="1"/>
  </cols>
  <sheetData>
    <row r="1" spans="1:1">
      <c r="A1" t="s">
        <v>32</v>
      </c>
    </row>
    <row r="3" spans="1:11">
      <c r="A3" t="s">
        <v>33</v>
      </c>
      <c r="B3" s="1" t="s">
        <v>4</v>
      </c>
      <c r="C3" s="1">
        <v>3</v>
      </c>
      <c r="D3" s="2" t="s">
        <v>34</v>
      </c>
      <c r="E3" s="2">
        <v>5</v>
      </c>
      <c r="F3" s="3" t="s">
        <v>35</v>
      </c>
      <c r="G3" s="3">
        <v>4</v>
      </c>
      <c r="H3" s="4" t="s">
        <v>36</v>
      </c>
      <c r="I3" s="4">
        <v>3</v>
      </c>
      <c r="J3" s="5" t="s">
        <v>37</v>
      </c>
      <c r="K3" s="5">
        <v>1</v>
      </c>
    </row>
    <row r="4" spans="1:12">
      <c r="A4" t="s">
        <v>38</v>
      </c>
      <c r="B4" s="1">
        <v>5</v>
      </c>
      <c r="C4" s="1">
        <f t="shared" ref="C4:G4" si="0">C$3*B4</f>
        <v>15</v>
      </c>
      <c r="D4" s="2">
        <v>4</v>
      </c>
      <c r="E4" s="2">
        <f t="shared" si="0"/>
        <v>20</v>
      </c>
      <c r="F4" s="3">
        <v>3</v>
      </c>
      <c r="G4" s="3">
        <f t="shared" si="0"/>
        <v>12</v>
      </c>
      <c r="H4" s="4">
        <v>4</v>
      </c>
      <c r="I4" s="4">
        <f>I$3*H4</f>
        <v>12</v>
      </c>
      <c r="J4" s="5">
        <v>2</v>
      </c>
      <c r="K4" s="5">
        <f>K$3*J4</f>
        <v>2</v>
      </c>
      <c r="L4" s="6">
        <f>C4+E4+G4+I4+K4</f>
        <v>61</v>
      </c>
    </row>
    <row r="5" spans="1:12">
      <c r="A5" t="s">
        <v>39</v>
      </c>
      <c r="B5" s="1">
        <v>4</v>
      </c>
      <c r="C5" s="1">
        <f t="shared" ref="C5:G5" si="1">C$3*B5</f>
        <v>12</v>
      </c>
      <c r="D5" s="2">
        <v>3</v>
      </c>
      <c r="E5" s="2">
        <f t="shared" si="1"/>
        <v>15</v>
      </c>
      <c r="F5" s="3">
        <v>3</v>
      </c>
      <c r="G5" s="3">
        <f t="shared" si="1"/>
        <v>12</v>
      </c>
      <c r="H5" s="4">
        <v>4</v>
      </c>
      <c r="I5" s="4">
        <f>I$3*H5</f>
        <v>12</v>
      </c>
      <c r="J5" s="5">
        <v>4</v>
      </c>
      <c r="K5" s="5">
        <f>K$3*J5</f>
        <v>4</v>
      </c>
      <c r="L5" s="6">
        <f>SUM(B5:J5)</f>
        <v>69</v>
      </c>
    </row>
    <row r="6" spans="1:12">
      <c r="A6" t="s">
        <v>40</v>
      </c>
      <c r="B6" s="1">
        <v>3</v>
      </c>
      <c r="C6" s="1">
        <f t="shared" ref="C6:G6" si="2">C$3*B6</f>
        <v>9</v>
      </c>
      <c r="D6" s="2">
        <v>4</v>
      </c>
      <c r="E6" s="2">
        <f t="shared" si="2"/>
        <v>20</v>
      </c>
      <c r="F6" s="3">
        <v>4</v>
      </c>
      <c r="G6" s="3">
        <f t="shared" si="2"/>
        <v>16</v>
      </c>
      <c r="H6" s="4">
        <v>5</v>
      </c>
      <c r="I6" s="4">
        <f>I$3*H6</f>
        <v>15</v>
      </c>
      <c r="J6" s="5">
        <v>6</v>
      </c>
      <c r="K6" s="5">
        <f>K$3*J6</f>
        <v>6</v>
      </c>
      <c r="L6" s="7">
        <f>SUM(B6:J6)</f>
        <v>82</v>
      </c>
    </row>
    <row r="7" spans="1:12">
      <c r="A7" t="s">
        <v>41</v>
      </c>
      <c r="B7" s="1">
        <v>6</v>
      </c>
      <c r="C7" s="1">
        <f t="shared" ref="C7:G7" si="3">C$3*B7</f>
        <v>18</v>
      </c>
      <c r="D7" s="2">
        <v>3</v>
      </c>
      <c r="E7" s="2">
        <f t="shared" si="3"/>
        <v>15</v>
      </c>
      <c r="F7" s="3">
        <v>2</v>
      </c>
      <c r="G7" s="3">
        <f t="shared" si="3"/>
        <v>8</v>
      </c>
      <c r="H7" s="4">
        <v>1</v>
      </c>
      <c r="I7" s="4">
        <f>I$3*H7</f>
        <v>3</v>
      </c>
      <c r="J7" s="5">
        <v>1</v>
      </c>
      <c r="K7" s="5">
        <f>K$3*J7</f>
        <v>1</v>
      </c>
      <c r="L7" s="6">
        <f>SUM(B7:J7)</f>
        <v>57</v>
      </c>
    </row>
    <row r="8" spans="1:12">
      <c r="A8" t="s">
        <v>42</v>
      </c>
      <c r="B8" s="1">
        <v>4</v>
      </c>
      <c r="C8" s="1">
        <f t="shared" ref="C8:G8" si="4">C$3*B8</f>
        <v>12</v>
      </c>
      <c r="D8" s="2">
        <v>3</v>
      </c>
      <c r="E8" s="2">
        <f t="shared" si="4"/>
        <v>15</v>
      </c>
      <c r="F8" s="3">
        <v>4</v>
      </c>
      <c r="G8" s="3">
        <f t="shared" si="4"/>
        <v>16</v>
      </c>
      <c r="H8" s="4">
        <v>4</v>
      </c>
      <c r="I8" s="4">
        <f>I$3*H8</f>
        <v>12</v>
      </c>
      <c r="J8" s="5">
        <v>5</v>
      </c>
      <c r="K8" s="5">
        <f>K$3*J8</f>
        <v>5</v>
      </c>
      <c r="L8" s="6">
        <f>SUM(B8:J8)</f>
        <v>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1" sqref="I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Payroll</vt:lpstr>
      <vt:lpstr>Gradebook</vt:lpstr>
      <vt:lpstr>Decisionn Chart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NTPLX</dc:creator>
  <cp:lastModifiedBy>NTPLX</cp:lastModifiedBy>
  <dcterms:created xsi:type="dcterms:W3CDTF">2025-09-02T05:32:00Z</dcterms:created>
  <dcterms:modified xsi:type="dcterms:W3CDTF">2025-09-17T01:20:16Z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19759ED1B92A41BBA2605F689E0ABB47_13</vt:lpwstr>
  </property>
  <property fmtid="{D5CDD505-2E9C-101B-9397-08002B2CF9AE}" pid="3" name="KSOProductBuildVer">
    <vt:lpwstr>1033-12.2.0.22549</vt:lpwstr>
  </property>
</Properties>
</file>